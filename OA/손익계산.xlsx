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ktk\KTK\OA\"/>
    </mc:Choice>
  </mc:AlternateContent>
  <bookViews>
    <workbookView xWindow="0" yWindow="0" windowWidth="13335" windowHeight="7935"/>
  </bookViews>
  <sheets>
    <sheet name="손익계산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2" l="1"/>
  <c r="D14" i="2" s="1"/>
  <c r="E6" i="2" l="1"/>
  <c r="D6" i="2"/>
  <c r="C6" i="2"/>
  <c r="B6" i="2"/>
</calcChain>
</file>

<file path=xl/sharedStrings.xml><?xml version="1.0" encoding="utf-8"?>
<sst xmlns="http://schemas.openxmlformats.org/spreadsheetml/2006/main" count="23" uniqueCount="22">
  <si>
    <t>2025.04말</t>
    <phoneticPr fontId="1" type="noConversion"/>
  </si>
  <si>
    <t>2026.01초</t>
    <phoneticPr fontId="1" type="noConversion"/>
  </si>
  <si>
    <t>2026.01말</t>
    <phoneticPr fontId="1" type="noConversion"/>
  </si>
  <si>
    <t>2026.05 중</t>
    <phoneticPr fontId="1" type="noConversion"/>
  </si>
  <si>
    <t>중간청산</t>
    <phoneticPr fontId="1" type="noConversion"/>
  </si>
  <si>
    <t>현재수익</t>
    <phoneticPr fontId="1" type="noConversion"/>
  </si>
  <si>
    <t>중간수익</t>
    <phoneticPr fontId="1" type="noConversion"/>
  </si>
  <si>
    <t>전체</t>
    <phoneticPr fontId="1" type="noConversion"/>
  </si>
  <si>
    <t>구매</t>
    <phoneticPr fontId="1" type="noConversion"/>
  </si>
  <si>
    <t>판매</t>
    <phoneticPr fontId="1" type="noConversion"/>
  </si>
  <si>
    <t>유관</t>
    <phoneticPr fontId="1" type="noConversion"/>
  </si>
  <si>
    <t>금액</t>
    <phoneticPr fontId="1" type="noConversion"/>
  </si>
  <si>
    <t>1주가</t>
    <phoneticPr fontId="1" type="noConversion"/>
  </si>
  <si>
    <t>주량</t>
    <phoneticPr fontId="1" type="noConversion"/>
  </si>
  <si>
    <t>시기</t>
    <phoneticPr fontId="1" type="noConversion"/>
  </si>
  <si>
    <t>수수료</t>
    <phoneticPr fontId="1" type="noConversion"/>
  </si>
  <si>
    <t>제세금</t>
    <phoneticPr fontId="1" type="noConversion"/>
  </si>
  <si>
    <t>세전</t>
    <phoneticPr fontId="1" type="noConversion"/>
  </si>
  <si>
    <t>구</t>
    <phoneticPr fontId="1" type="noConversion"/>
  </si>
  <si>
    <t>판</t>
    <phoneticPr fontId="1" type="noConversion"/>
  </si>
  <si>
    <t>구</t>
    <phoneticPr fontId="1" type="noConversion"/>
  </si>
  <si>
    <t>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</si>
</sst>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-&quot;₩&quot;* #,##0_-;\-&quot;₩&quot;* #,##0_-;_-&quot;₩&quot;* &quot;-&quot;_-;_-@_-"/>
    <numFmt numFmtId="178" formatCode="_-&quot;₩&quot;* #,##0.0_-;\-&quot;₩&quot;* #,##0.0_-;_-&quot;₩&quot;* &quot;-&quot;?_-;_-@_-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2" fontId="0" fillId="0" borderId="0" xfId="0" applyNumberFormat="1">
      <alignment vertical="center"/>
    </xf>
    <xf numFmtId="10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G11" sqref="G11"/>
    </sheetView>
  </sheetViews>
  <sheetFormatPr defaultRowHeight="16.5" x14ac:dyDescent="0.3"/>
  <cols>
    <col min="2" max="2" width="15" bestFit="1" customWidth="1"/>
    <col min="3" max="5" width="14.625" bestFit="1" customWidth="1"/>
  </cols>
  <sheetData>
    <row r="1" spans="1:8" x14ac:dyDescent="0.3">
      <c r="B1" t="s">
        <v>20</v>
      </c>
      <c r="C1" t="s">
        <v>19</v>
      </c>
      <c r="D1" t="s">
        <v>18</v>
      </c>
      <c r="E1" t="s">
        <v>21</v>
      </c>
    </row>
    <row r="2" spans="1:8" x14ac:dyDescent="0.3">
      <c r="A2" t="s">
        <v>14</v>
      </c>
      <c r="B2" t="s">
        <v>0</v>
      </c>
      <c r="C2" t="s">
        <v>1</v>
      </c>
      <c r="D2" t="s">
        <v>2</v>
      </c>
      <c r="E2" t="s">
        <v>3</v>
      </c>
    </row>
    <row r="3" spans="1:8" x14ac:dyDescent="0.3">
      <c r="A3" t="s">
        <v>12</v>
      </c>
      <c r="B3">
        <v>55000</v>
      </c>
      <c r="C3">
        <v>129000</v>
      </c>
      <c r="D3">
        <v>151000</v>
      </c>
      <c r="E3">
        <v>285000</v>
      </c>
    </row>
    <row r="4" spans="1:8" x14ac:dyDescent="0.3">
      <c r="A4" t="s">
        <v>13</v>
      </c>
      <c r="B4">
        <v>2123</v>
      </c>
      <c r="C4">
        <v>-800</v>
      </c>
      <c r="D4">
        <v>1100</v>
      </c>
      <c r="E4">
        <v>2423</v>
      </c>
    </row>
    <row r="6" spans="1:8" x14ac:dyDescent="0.3">
      <c r="A6" t="s">
        <v>11</v>
      </c>
      <c r="B6" s="1">
        <f>B3*B4</f>
        <v>116765000</v>
      </c>
      <c r="C6" s="1">
        <f>SUM(C3*C4)</f>
        <v>-103200000</v>
      </c>
      <c r="D6" s="1">
        <f>SUM(D3*D4)</f>
        <v>166100000</v>
      </c>
      <c r="E6" s="1">
        <f>SUM(E3*E4)</f>
        <v>690555000</v>
      </c>
    </row>
    <row r="7" spans="1:8" x14ac:dyDescent="0.3">
      <c r="C7" t="s">
        <v>4</v>
      </c>
    </row>
    <row r="8" spans="1:8" x14ac:dyDescent="0.3">
      <c r="A8" t="s">
        <v>15</v>
      </c>
      <c r="B8" s="3">
        <v>113426</v>
      </c>
      <c r="C8">
        <v>100540</v>
      </c>
      <c r="D8">
        <v>160295</v>
      </c>
      <c r="E8">
        <v>589471</v>
      </c>
    </row>
    <row r="9" spans="1:8" x14ac:dyDescent="0.3">
      <c r="A9" t="s">
        <v>16</v>
      </c>
      <c r="B9" s="3"/>
      <c r="C9">
        <v>309600</v>
      </c>
    </row>
    <row r="10" spans="1:8" x14ac:dyDescent="0.3">
      <c r="B10" s="1"/>
      <c r="G10" s="1"/>
      <c r="H10" s="1"/>
    </row>
    <row r="13" spans="1:8" x14ac:dyDescent="0.3">
      <c r="B13" t="s">
        <v>5</v>
      </c>
      <c r="C13" t="s">
        <v>6</v>
      </c>
      <c r="D13" t="s">
        <v>7</v>
      </c>
    </row>
    <row r="14" spans="1:8" x14ac:dyDescent="0.3">
      <c r="A14" t="s">
        <v>17</v>
      </c>
      <c r="B14" s="1">
        <f>SUM(B6:E6)</f>
        <v>870220000</v>
      </c>
      <c r="C14" s="1">
        <v>103200000</v>
      </c>
      <c r="D14" s="1">
        <f>SUM(B14:C14)</f>
        <v>973420000</v>
      </c>
    </row>
    <row r="18" spans="1:2" x14ac:dyDescent="0.3">
      <c r="B18" t="s">
        <v>15</v>
      </c>
    </row>
    <row r="19" spans="1:2" x14ac:dyDescent="0.3">
      <c r="A19" t="s">
        <v>8</v>
      </c>
      <c r="B19" s="2">
        <v>1E-3</v>
      </c>
    </row>
    <row r="20" spans="1:2" x14ac:dyDescent="0.3">
      <c r="A20" t="s">
        <v>9</v>
      </c>
      <c r="B20" s="2">
        <v>1E-3</v>
      </c>
    </row>
    <row r="21" spans="1:2" x14ac:dyDescent="0.3">
      <c r="A21" t="s">
        <v>10</v>
      </c>
      <c r="B21" s="2">
        <v>2.0000000000000001E-4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손익계산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DW001</dc:creator>
  <cp:lastModifiedBy>DW001</cp:lastModifiedBy>
  <dcterms:created xsi:type="dcterms:W3CDTF">2026-05-12T01:29:41Z</dcterms:created>
  <dcterms:modified xsi:type="dcterms:W3CDTF">2026-05-12T05:01:10Z</dcterms:modified>
</cp:coreProperties>
</file>