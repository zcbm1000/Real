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KTK\OA\PJT\"/>
    </mc:Choice>
  </mc:AlternateContent>
  <bookViews>
    <workbookView xWindow="0" yWindow="0" windowWidth="15165" windowHeight="9705" activeTab="2"/>
  </bookViews>
  <sheets>
    <sheet name="TEST" sheetId="3" r:id="rId1"/>
    <sheet name="2026.04.27" sheetId="1" r:id="rId2"/>
    <sheet name="2026.04.28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9" i="5" l="1"/>
  <c r="Q19" i="5"/>
  <c r="O19" i="5"/>
  <c r="S18" i="5"/>
  <c r="Q18" i="5"/>
  <c r="O18" i="5"/>
  <c r="S17" i="5"/>
  <c r="Q17" i="5"/>
  <c r="O17" i="5"/>
  <c r="S16" i="5"/>
  <c r="Q16" i="5"/>
  <c r="O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J17" i="5"/>
  <c r="I17" i="5"/>
  <c r="H17" i="5"/>
  <c r="G17" i="5"/>
  <c r="F17" i="5"/>
  <c r="E17" i="5"/>
  <c r="D17" i="5"/>
  <c r="C17" i="5"/>
  <c r="L16" i="5"/>
  <c r="I16" i="5"/>
  <c r="H16" i="5"/>
  <c r="G16" i="5"/>
  <c r="T13" i="5" s="1"/>
  <c r="F16" i="5"/>
  <c r="E16" i="5"/>
  <c r="R10" i="5" s="1"/>
  <c r="D16" i="5"/>
  <c r="C16" i="5"/>
  <c r="P15" i="5" s="1"/>
  <c r="J15" i="5"/>
  <c r="I15" i="5"/>
  <c r="H15" i="5"/>
  <c r="G15" i="5"/>
  <c r="F15" i="5"/>
  <c r="E15" i="5"/>
  <c r="D15" i="5"/>
  <c r="C15" i="5"/>
  <c r="K14" i="5"/>
  <c r="L14" i="5" s="1"/>
  <c r="K13" i="5"/>
  <c r="L13" i="5" s="1"/>
  <c r="K12" i="5"/>
  <c r="L12" i="5" s="1"/>
  <c r="K11" i="5"/>
  <c r="J7" i="5"/>
  <c r="K7" i="5" s="1"/>
  <c r="J6" i="5"/>
  <c r="K6" i="5" s="1"/>
  <c r="J5" i="5"/>
  <c r="K5" i="5" s="1"/>
  <c r="J4" i="5"/>
  <c r="K4" i="5" s="1"/>
  <c r="T7" i="5" l="1"/>
  <c r="T15" i="5"/>
  <c r="K17" i="5"/>
  <c r="P9" i="5"/>
  <c r="R12" i="5"/>
  <c r="R4" i="5"/>
  <c r="P4" i="5"/>
  <c r="R7" i="5"/>
  <c r="T10" i="5"/>
  <c r="P12" i="5"/>
  <c r="R15" i="5"/>
  <c r="T4" i="5"/>
  <c r="P6" i="5"/>
  <c r="R9" i="5"/>
  <c r="T12" i="5"/>
  <c r="P14" i="5"/>
  <c r="R6" i="5"/>
  <c r="T9" i="5"/>
  <c r="P11" i="5"/>
  <c r="R14" i="5"/>
  <c r="T6" i="5"/>
  <c r="P8" i="5"/>
  <c r="R11" i="5"/>
  <c r="T14" i="5"/>
  <c r="P5" i="5"/>
  <c r="R8" i="5"/>
  <c r="T11" i="5"/>
  <c r="P13" i="5"/>
  <c r="R5" i="5"/>
  <c r="T8" i="5"/>
  <c r="P10" i="5"/>
  <c r="R13" i="5"/>
  <c r="T5" i="5"/>
  <c r="P7" i="5"/>
  <c r="L11" i="5"/>
  <c r="J16" i="5"/>
  <c r="K15" i="5"/>
  <c r="I4" i="1"/>
  <c r="J4" i="1"/>
  <c r="I5" i="1"/>
  <c r="J5" i="1"/>
  <c r="I6" i="1"/>
  <c r="J6" i="1"/>
  <c r="L17" i="5" l="1"/>
  <c r="K16" i="5"/>
  <c r="L15" i="5"/>
</calcChain>
</file>

<file path=xl/sharedStrings.xml><?xml version="1.0" encoding="utf-8"?>
<sst xmlns="http://schemas.openxmlformats.org/spreadsheetml/2006/main" count="127" uniqueCount="97">
  <si>
    <t>회원 목록</t>
    <phoneticPr fontId="1" type="noConversion"/>
  </si>
  <si>
    <t>no</t>
    <phoneticPr fontId="1" type="noConversion"/>
  </si>
  <si>
    <t>id</t>
    <phoneticPr fontId="1" type="noConversion"/>
  </si>
  <si>
    <t>pw</t>
    <phoneticPr fontId="1" type="noConversion"/>
  </si>
  <si>
    <t>arrd</t>
    <phoneticPr fontId="1" type="noConversion"/>
  </si>
  <si>
    <t>mail</t>
    <phoneticPr fontId="1" type="noConversion"/>
  </si>
  <si>
    <t>reg_date</t>
    <phoneticPr fontId="1" type="noConversion"/>
  </si>
  <si>
    <t>mod_date</t>
    <phoneticPr fontId="1" type="noConversion"/>
  </si>
  <si>
    <t>phone</t>
    <phoneticPr fontId="1" type="noConversion"/>
  </si>
  <si>
    <t>A1</t>
    <phoneticPr fontId="1" type="noConversion"/>
  </si>
  <si>
    <t>gildong</t>
    <phoneticPr fontId="1" type="noConversion"/>
  </si>
  <si>
    <t>000-0000-0000</t>
    <phoneticPr fontId="1" type="noConversion"/>
  </si>
  <si>
    <t>gggg@gamil.com</t>
    <phoneticPr fontId="1" type="noConversion"/>
  </si>
  <si>
    <t>A2</t>
  </si>
  <si>
    <t>chanho</t>
    <phoneticPr fontId="1" type="noConversion"/>
  </si>
  <si>
    <t>111-1111-1111</t>
    <phoneticPr fontId="1" type="noConversion"/>
  </si>
  <si>
    <t>A3</t>
  </si>
  <si>
    <t>saeri</t>
    <phoneticPr fontId="1" type="noConversion"/>
  </si>
  <si>
    <t>ssss@daum.net</t>
    <phoneticPr fontId="1" type="noConversion"/>
  </si>
  <si>
    <t>222-2222-2222</t>
    <phoneticPr fontId="1" type="noConversion"/>
  </si>
  <si>
    <t>cccc@naver.com</t>
    <phoneticPr fontId="1" type="noConversion"/>
  </si>
  <si>
    <t>c동d구</t>
    <phoneticPr fontId="1" type="noConversion"/>
  </si>
  <si>
    <t>b동c구</t>
    <phoneticPr fontId="1" type="noConversion"/>
  </si>
  <si>
    <t>a동b구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</si>
  <si>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</si>
  <si>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</si>
  <si>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</si>
  <si>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1학기</t>
    <phoneticPr fontId="1" type="noConversion"/>
  </si>
  <si>
    <t>2학기</t>
    <phoneticPr fontId="1" type="noConversion"/>
  </si>
  <si>
    <t>홍길동</t>
    <phoneticPr fontId="1" type="noConversion"/>
  </si>
  <si>
    <t>박찬호</t>
    <phoneticPr fontId="1" type="noConversion"/>
  </si>
  <si>
    <t>박세리</t>
    <phoneticPr fontId="1" type="noConversion"/>
  </si>
  <si>
    <t>학생</t>
    <phoneticPr fontId="1" type="noConversion"/>
  </si>
  <si>
    <t>총합</t>
    <phoneticPr fontId="1" type="noConversion"/>
  </si>
  <si>
    <t>평균</t>
    <phoneticPr fontId="1" type="noConversion"/>
  </si>
  <si>
    <t>합계</t>
    <phoneticPr fontId="1" type="noConversion"/>
  </si>
  <si>
    <t>성적표</t>
    <phoneticPr fontId="1" type="noConversion"/>
  </si>
  <si>
    <t>이름</t>
    <phoneticPr fontId="1" type="noConversion"/>
  </si>
  <si>
    <t>국어 평균 편차</t>
    <phoneticPr fontId="1" type="noConversion"/>
  </si>
  <si>
    <t>영어</t>
    <phoneticPr fontId="1" type="noConversion"/>
  </si>
  <si>
    <t>영어 평균 편차</t>
    <phoneticPr fontId="1" type="noConversion"/>
  </si>
  <si>
    <t>수학</t>
    <phoneticPr fontId="1" type="noConversion"/>
  </si>
  <si>
    <t>수학 평균 편차</t>
    <phoneticPr fontId="1" type="noConversion"/>
  </si>
  <si>
    <t>과목합계</t>
    <phoneticPr fontId="1" type="noConversion"/>
  </si>
  <si>
    <t>과목평균</t>
    <phoneticPr fontId="1" type="noConversion"/>
  </si>
  <si>
    <t>-</t>
    <phoneticPr fontId="1" type="noConversion"/>
  </si>
  <si>
    <t>-</t>
    <phoneticPr fontId="1" type="noConversion"/>
  </si>
  <si>
    <t>표준편차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</si>
  <si>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</si>
  <si>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</si>
  <si>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</si>
  <si>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</si>
  <si>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김 일</t>
    <phoneticPr fontId="1" type="noConversion"/>
  </si>
  <si>
    <t>김 이</t>
    <phoneticPr fontId="1" type="noConversion"/>
  </si>
  <si>
    <t>김 삼</t>
    <phoneticPr fontId="1" type="noConversion"/>
  </si>
  <si>
    <t>김 사</t>
    <phoneticPr fontId="1" type="noConversion"/>
  </si>
  <si>
    <t>김 오</t>
    <phoneticPr fontId="1" type="noConversion"/>
  </si>
  <si>
    <t>김 육</t>
    <phoneticPr fontId="1" type="noConversion"/>
  </si>
  <si>
    <t>김 칠</t>
    <phoneticPr fontId="1" type="noConversion"/>
  </si>
  <si>
    <t>김 팔</t>
    <phoneticPr fontId="1" type="noConversion"/>
  </si>
  <si>
    <t>김 구</t>
    <phoneticPr fontId="1" type="noConversion"/>
  </si>
  <si>
    <t>김 영</t>
    <phoneticPr fontId="1" type="noConversion"/>
  </si>
  <si>
    <t>이 일</t>
    <phoneticPr fontId="1" type="noConversion"/>
  </si>
  <si>
    <t>이 이</t>
    <phoneticPr fontId="1" type="noConversion"/>
  </si>
  <si>
    <t>이름</t>
    <phoneticPr fontId="1" type="noConversion"/>
  </si>
  <si>
    <t>1월</t>
    <phoneticPr fontId="1" type="noConversion"/>
  </si>
  <si>
    <t>2월</t>
  </si>
  <si>
    <t>3월</t>
  </si>
  <si>
    <t>4월</t>
  </si>
  <si>
    <t>5월</t>
  </si>
  <si>
    <t>6월</t>
  </si>
  <si>
    <t>김철수</t>
    <phoneticPr fontId="1" type="noConversion"/>
  </si>
  <si>
    <t>개발</t>
    <phoneticPr fontId="1" type="noConversion"/>
  </si>
  <si>
    <t>이영희</t>
    <phoneticPr fontId="1" type="noConversion"/>
  </si>
  <si>
    <t>최지은</t>
    <phoneticPr fontId="1" type="noConversion"/>
  </si>
  <si>
    <t>디자인</t>
    <phoneticPr fontId="1" type="noConversion"/>
  </si>
  <si>
    <t>CNT</t>
    <phoneticPr fontId="1" type="noConversion"/>
  </si>
  <si>
    <t>2026년 상반기 부서 실적</t>
    <phoneticPr fontId="1" type="noConversion"/>
  </si>
  <si>
    <t>마케팅</t>
    <phoneticPr fontId="1" type="noConversion"/>
  </si>
  <si>
    <t>CNTA</t>
    <phoneticPr fontId="1" type="noConversion"/>
  </si>
  <si>
    <t>부서</t>
    <phoneticPr fontId="1" type="noConversion"/>
  </si>
  <si>
    <t>합계</t>
    <phoneticPr fontId="1" type="noConversion"/>
  </si>
  <si>
    <t>평균</t>
    <phoneticPr fontId="1" type="noConversion"/>
  </si>
  <si>
    <t>개발</t>
    <phoneticPr fontId="1" type="noConversion"/>
  </si>
  <si>
    <t>박민수</t>
    <phoneticPr fontId="1" type="noConversion"/>
  </si>
  <si>
    <t>2026년 상반기 부서 실적</t>
    <phoneticPr fontId="1" type="noConversion"/>
  </si>
  <si>
    <t>번호</t>
    <phoneticPr fontId="1" type="noConversion"/>
  </si>
  <si>
    <t>이름</t>
    <phoneticPr fontId="1" type="noConversion"/>
  </si>
  <si>
    <t>부서</t>
    <phoneticPr fontId="1" type="noConversion"/>
  </si>
  <si>
    <t>1월</t>
    <phoneticPr fontId="1" type="noConversion"/>
  </si>
  <si>
    <t>합계</t>
    <phoneticPr fontId="1" type="noConversion"/>
  </si>
  <si>
    <t>이영희</t>
    <phoneticPr fontId="1" type="noConversion"/>
  </si>
  <si>
    <t>마케팅</t>
    <phoneticPr fontId="1" type="noConversion"/>
  </si>
  <si>
    <t>최지은</t>
    <phoneticPr fontId="1" type="noConversion"/>
  </si>
  <si>
    <t>디자인</t>
    <phoneticPr fontId="1" type="noConversion"/>
  </si>
  <si>
    <t>COUNTIF</t>
    <phoneticPr fontId="1" type="noConversion"/>
  </si>
  <si>
    <t>80점이상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</si>
</sst>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8" formatCode="0.0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3" fillId="0" borderId="1" xfId="1" applyBorder="1">
      <alignment vertical="center"/>
    </xf>
    <xf numFmtId="14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4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8" xfId="1" applyBorder="1">
      <alignment vertical="center"/>
    </xf>
    <xf numFmtId="14" fontId="0" fillId="0" borderId="8" xfId="0" applyNumberFormat="1" applyBorder="1">
      <alignment vertical="center"/>
    </xf>
    <xf numFmtId="14" fontId="0" fillId="0" borderId="9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6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3" fontId="0" fillId="0" borderId="6" xfId="0" applyNumberFormat="1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4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ss@daum.net" TargetMode="External"/><Relationship Id="rId2" Type="http://schemas.openxmlformats.org/officeDocument/2006/relationships/hyperlink" Target="mailto:cccc@naver.com" TargetMode="External"/><Relationship Id="rId1" Type="http://schemas.openxmlformats.org/officeDocument/2006/relationships/hyperlink" Target="mailto:gggg@gam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G20" sqref="G20"/>
    </sheetView>
  </sheetViews>
  <sheetFormatPr defaultRowHeight="16.5" x14ac:dyDescent="0.3"/>
  <cols>
    <col min="1" max="1" width="10.625" customWidth="1"/>
    <col min="2" max="2" width="9.625" bestFit="1" customWidth="1"/>
    <col min="3" max="4" width="10.625" customWidth="1"/>
    <col min="5" max="5" width="11.75" bestFit="1" customWidth="1"/>
    <col min="6" max="6" width="17.375" bestFit="1" customWidth="1"/>
    <col min="7" max="7" width="14.375" bestFit="1" customWidth="1"/>
    <col min="8" max="9" width="11.125" bestFit="1" customWidth="1"/>
  </cols>
  <sheetData>
    <row r="1" spans="2:9" ht="17.25" thickBot="1" x14ac:dyDescent="0.35"/>
    <row r="2" spans="2:9" ht="18.600000000000001" customHeight="1" x14ac:dyDescent="0.3">
      <c r="B2" s="20" t="s">
        <v>0</v>
      </c>
      <c r="C2" s="21"/>
      <c r="D2" s="21"/>
      <c r="E2" s="21"/>
      <c r="F2" s="21"/>
      <c r="G2" s="21"/>
      <c r="H2" s="21"/>
      <c r="I2" s="22"/>
    </row>
    <row r="3" spans="2:9" ht="18.600000000000001" customHeight="1" x14ac:dyDescent="0.3">
      <c r="B3" s="7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8</v>
      </c>
      <c r="H3" s="4" t="s">
        <v>6</v>
      </c>
      <c r="I3" s="8" t="s">
        <v>7</v>
      </c>
    </row>
    <row r="4" spans="2:9" ht="18.600000000000001" customHeight="1" x14ac:dyDescent="0.3">
      <c r="B4" s="7" t="s">
        <v>9</v>
      </c>
      <c r="C4" s="3" t="s">
        <v>10</v>
      </c>
      <c r="D4" s="3">
        <v>1234</v>
      </c>
      <c r="E4" s="3" t="s">
        <v>23</v>
      </c>
      <c r="F4" s="5" t="s">
        <v>12</v>
      </c>
      <c r="G4" s="3" t="s">
        <v>11</v>
      </c>
      <c r="H4" s="6">
        <v>46023</v>
      </c>
      <c r="I4" s="9">
        <v>46053</v>
      </c>
    </row>
    <row r="5" spans="2:9" ht="18.600000000000001" customHeight="1" x14ac:dyDescent="0.3">
      <c r="B5" s="7" t="s">
        <v>13</v>
      </c>
      <c r="C5" s="3" t="s">
        <v>14</v>
      </c>
      <c r="D5" s="3">
        <v>5678</v>
      </c>
      <c r="E5" s="3" t="s">
        <v>22</v>
      </c>
      <c r="F5" s="5" t="s">
        <v>20</v>
      </c>
      <c r="G5" s="3" t="s">
        <v>15</v>
      </c>
      <c r="H5" s="6">
        <v>46054</v>
      </c>
      <c r="I5" s="9">
        <v>46081</v>
      </c>
    </row>
    <row r="6" spans="2:9" ht="18.600000000000001" customHeight="1" thickBot="1" x14ac:dyDescent="0.35">
      <c r="B6" s="10" t="s">
        <v>16</v>
      </c>
      <c r="C6" s="11" t="s">
        <v>17</v>
      </c>
      <c r="D6" s="11">
        <v>9012</v>
      </c>
      <c r="E6" s="11" t="s">
        <v>21</v>
      </c>
      <c r="F6" s="12" t="s">
        <v>18</v>
      </c>
      <c r="G6" s="11" t="s">
        <v>19</v>
      </c>
      <c r="H6" s="13">
        <v>46082</v>
      </c>
      <c r="I6" s="14">
        <v>46112</v>
      </c>
    </row>
    <row r="7" spans="2:9" x14ac:dyDescent="0.3">
      <c r="H7" s="2"/>
    </row>
    <row r="12" spans="2:9" x14ac:dyDescent="0.3">
      <c r="E12" s="15"/>
      <c r="F12" s="15"/>
    </row>
  </sheetData>
  <mergeCells count="1">
    <mergeCell ref="B2:I2"/>
  </mergeCells>
  <phoneticPr fontId="1" type="noConversion"/>
  <hyperlinks>
    <hyperlink ref="F4" r:id="rId1"/>
    <hyperlink ref="F5" r:id="rId2"/>
    <hyperlink ref="F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workbookViewId="0">
      <selection activeCell="H20" sqref="H20"/>
    </sheetView>
  </sheetViews>
  <sheetFormatPr defaultRowHeight="16.5" x14ac:dyDescent="0.3"/>
  <sheetData>
    <row r="2" spans="2:12" x14ac:dyDescent="0.3">
      <c r="B2" s="23" t="s">
        <v>32</v>
      </c>
      <c r="C2" s="23" t="s">
        <v>24</v>
      </c>
      <c r="D2" s="23"/>
      <c r="E2" s="23" t="s">
        <v>25</v>
      </c>
      <c r="F2" s="23"/>
      <c r="G2" s="23" t="s">
        <v>26</v>
      </c>
      <c r="H2" s="23"/>
      <c r="I2" s="23" t="s">
        <v>33</v>
      </c>
      <c r="J2" s="23" t="s">
        <v>34</v>
      </c>
    </row>
    <row r="3" spans="2:12" x14ac:dyDescent="0.3">
      <c r="B3" s="23"/>
      <c r="C3" s="16" t="s">
        <v>27</v>
      </c>
      <c r="D3" s="16" t="s">
        <v>28</v>
      </c>
      <c r="E3" s="16" t="s">
        <v>27</v>
      </c>
      <c r="F3" s="16" t="s">
        <v>28</v>
      </c>
      <c r="G3" s="16" t="s">
        <v>27</v>
      </c>
      <c r="H3" s="16" t="s">
        <v>28</v>
      </c>
      <c r="I3" s="23"/>
      <c r="J3" s="23"/>
    </row>
    <row r="4" spans="2:12" x14ac:dyDescent="0.3">
      <c r="B4" s="16" t="s">
        <v>29</v>
      </c>
      <c r="C4" s="17">
        <v>80</v>
      </c>
      <c r="D4" s="3">
        <v>90</v>
      </c>
      <c r="E4" s="3">
        <v>70</v>
      </c>
      <c r="F4" s="3">
        <v>85</v>
      </c>
      <c r="G4" s="3">
        <v>85</v>
      </c>
      <c r="H4" s="3">
        <v>90</v>
      </c>
      <c r="I4" s="3">
        <f>SUM(C4:H4)</f>
        <v>500</v>
      </c>
      <c r="J4" s="3">
        <f>AVERAGE(C4:H4)</f>
        <v>83.333333333333329</v>
      </c>
    </row>
    <row r="5" spans="2:12" x14ac:dyDescent="0.3">
      <c r="B5" s="16" t="s">
        <v>30</v>
      </c>
      <c r="C5" s="3">
        <v>100</v>
      </c>
      <c r="D5" s="3">
        <v>95</v>
      </c>
      <c r="E5" s="3">
        <v>90</v>
      </c>
      <c r="F5" s="3">
        <v>85</v>
      </c>
      <c r="G5" s="3">
        <v>95</v>
      </c>
      <c r="H5" s="3">
        <v>100</v>
      </c>
      <c r="I5" s="3">
        <f>SUM(C5:H5)</f>
        <v>565</v>
      </c>
      <c r="J5" s="3">
        <f t="shared" ref="J5:J6" si="0">AVERAGE(C5:H5)</f>
        <v>94.166666666666671</v>
      </c>
    </row>
    <row r="6" spans="2:12" x14ac:dyDescent="0.3">
      <c r="B6" s="16" t="s">
        <v>31</v>
      </c>
      <c r="C6" s="3">
        <v>80</v>
      </c>
      <c r="D6" s="3">
        <v>100</v>
      </c>
      <c r="E6" s="3">
        <v>75</v>
      </c>
      <c r="F6" s="3">
        <v>85</v>
      </c>
      <c r="G6" s="3">
        <v>95</v>
      </c>
      <c r="H6" s="3">
        <v>90</v>
      </c>
      <c r="I6" s="3">
        <f>SUM(C6:H6)</f>
        <v>525</v>
      </c>
      <c r="J6" s="3">
        <f t="shared" si="0"/>
        <v>87.5</v>
      </c>
    </row>
    <row r="12" spans="2:12" x14ac:dyDescent="0.3">
      <c r="L12" s="1"/>
    </row>
    <row r="20" spans="12:12" x14ac:dyDescent="0.3">
      <c r="L20" s="1"/>
    </row>
  </sheetData>
  <mergeCells count="6">
    <mergeCell ref="B2:B3"/>
    <mergeCell ref="I2:I3"/>
    <mergeCell ref="J2:J3"/>
    <mergeCell ref="C2:D2"/>
    <mergeCell ref="E2:F2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9"/>
  <sheetViews>
    <sheetView tabSelected="1" topLeftCell="A19" zoomScale="70" zoomScaleNormal="70" workbookViewId="0">
      <selection activeCell="O43" sqref="O43"/>
    </sheetView>
  </sheetViews>
  <sheetFormatPr defaultRowHeight="16.5" x14ac:dyDescent="0.3"/>
  <cols>
    <col min="2" max="2" width="9.625" bestFit="1" customWidth="1"/>
    <col min="3" max="4" width="7.5" bestFit="1" customWidth="1"/>
    <col min="5" max="9" width="5.25" bestFit="1" customWidth="1"/>
    <col min="10" max="10" width="5.625" bestFit="1" customWidth="1"/>
    <col min="11" max="12" width="9.25" bestFit="1" customWidth="1"/>
    <col min="14" max="14" width="9.625" bestFit="1" customWidth="1"/>
    <col min="15" max="15" width="7.5" bestFit="1" customWidth="1"/>
    <col min="16" max="16" width="14.625" bestFit="1" customWidth="1"/>
    <col min="17" max="17" width="7.5" bestFit="1" customWidth="1"/>
    <col min="18" max="18" width="14.625" bestFit="1" customWidth="1"/>
    <col min="19" max="19" width="7.5" bestFit="1" customWidth="1"/>
    <col min="20" max="20" width="14.625" bestFit="1" customWidth="1"/>
    <col min="21" max="21" width="5.625" bestFit="1" customWidth="1"/>
    <col min="22" max="22" width="7.5" bestFit="1" customWidth="1"/>
  </cols>
  <sheetData>
    <row r="1" spans="2:22" ht="17.25" thickBot="1" x14ac:dyDescent="0.35"/>
    <row r="2" spans="2:22" ht="17.25" thickBot="1" x14ac:dyDescent="0.35">
      <c r="B2" s="31" t="s">
        <v>77</v>
      </c>
      <c r="C2" s="32"/>
      <c r="D2" s="32"/>
      <c r="E2" s="32"/>
      <c r="F2" s="32"/>
      <c r="G2" s="32"/>
      <c r="H2" s="32"/>
      <c r="I2" s="33"/>
      <c r="N2" s="51" t="s">
        <v>36</v>
      </c>
      <c r="O2" s="52"/>
      <c r="P2" s="52"/>
      <c r="Q2" s="52"/>
      <c r="R2" s="52"/>
      <c r="S2" s="52"/>
      <c r="T2" s="52"/>
      <c r="U2" s="52"/>
      <c r="V2" s="53"/>
    </row>
    <row r="3" spans="2:22" x14ac:dyDescent="0.3">
      <c r="B3" s="34" t="s">
        <v>64</v>
      </c>
      <c r="C3" s="35" t="s">
        <v>80</v>
      </c>
      <c r="D3" s="35" t="s">
        <v>65</v>
      </c>
      <c r="E3" s="35" t="s">
        <v>66</v>
      </c>
      <c r="F3" s="35" t="s">
        <v>67</v>
      </c>
      <c r="G3" s="35" t="s">
        <v>68</v>
      </c>
      <c r="H3" s="35" t="s">
        <v>69</v>
      </c>
      <c r="I3" s="35" t="s">
        <v>70</v>
      </c>
      <c r="J3" s="35" t="s">
        <v>81</v>
      </c>
      <c r="K3" s="36" t="s">
        <v>82</v>
      </c>
      <c r="N3" s="48" t="s">
        <v>37</v>
      </c>
      <c r="O3" s="49" t="s">
        <v>24</v>
      </c>
      <c r="P3" s="49" t="s">
        <v>38</v>
      </c>
      <c r="Q3" s="49" t="s">
        <v>39</v>
      </c>
      <c r="R3" s="49" t="s">
        <v>40</v>
      </c>
      <c r="S3" s="49" t="s">
        <v>41</v>
      </c>
      <c r="T3" s="49" t="s">
        <v>42</v>
      </c>
      <c r="U3" s="49" t="s">
        <v>35</v>
      </c>
      <c r="V3" s="50" t="s">
        <v>34</v>
      </c>
    </row>
    <row r="4" spans="2:22" x14ac:dyDescent="0.3">
      <c r="B4" s="37" t="s">
        <v>71</v>
      </c>
      <c r="C4" s="38" t="s">
        <v>83</v>
      </c>
      <c r="D4" s="38">
        <v>120</v>
      </c>
      <c r="E4" s="38">
        <v>150</v>
      </c>
      <c r="F4" s="38">
        <v>130</v>
      </c>
      <c r="G4" s="38">
        <v>140</v>
      </c>
      <c r="H4" s="38">
        <v>130</v>
      </c>
      <c r="I4" s="38">
        <v>150</v>
      </c>
      <c r="J4" s="3">
        <f>SUM(D4:I4)</f>
        <v>820</v>
      </c>
      <c r="K4" s="39">
        <f>AVERAGE(J4/6)</f>
        <v>136.66666666666666</v>
      </c>
      <c r="N4" s="19" t="s">
        <v>52</v>
      </c>
      <c r="O4" s="3">
        <v>80</v>
      </c>
      <c r="P4" s="24">
        <f>AVERAGE(O4-$C$16)</f>
        <v>76</v>
      </c>
      <c r="Q4" s="3">
        <v>88</v>
      </c>
      <c r="R4" s="24">
        <f>AVERAGE(Q4-$E$16)</f>
        <v>84</v>
      </c>
      <c r="S4" s="3">
        <v>76</v>
      </c>
      <c r="T4" s="24">
        <f>AVERAGE(S4-$G$16)</f>
        <v>72</v>
      </c>
      <c r="U4" s="3">
        <f>SUM(O4,Q4,S4)</f>
        <v>244</v>
      </c>
      <c r="V4" s="25">
        <f>AVERAGE(O4,Q4,S4)</f>
        <v>81.333333333333329</v>
      </c>
    </row>
    <row r="5" spans="2:22" x14ac:dyDescent="0.3">
      <c r="B5" s="37" t="s">
        <v>73</v>
      </c>
      <c r="C5" s="38" t="s">
        <v>78</v>
      </c>
      <c r="D5" s="38">
        <v>100</v>
      </c>
      <c r="E5" s="38">
        <v>110</v>
      </c>
      <c r="F5" s="38">
        <v>120</v>
      </c>
      <c r="G5" s="38">
        <v>130</v>
      </c>
      <c r="H5" s="38">
        <v>140</v>
      </c>
      <c r="I5" s="38">
        <v>130</v>
      </c>
      <c r="J5" s="3">
        <f t="shared" ref="J5:J7" si="0">SUM(D5:I5)</f>
        <v>730</v>
      </c>
      <c r="K5" s="39">
        <f t="shared" ref="K5:K7" si="1">AVERAGE(J5/6)</f>
        <v>121.66666666666667</v>
      </c>
      <c r="N5" s="19" t="s">
        <v>53</v>
      </c>
      <c r="O5" s="3">
        <v>84</v>
      </c>
      <c r="P5" s="24">
        <f t="shared" ref="P5:P15" si="2">AVERAGE(O5-$C$16)</f>
        <v>80</v>
      </c>
      <c r="Q5" s="3">
        <v>100</v>
      </c>
      <c r="R5" s="24">
        <f t="shared" ref="R5:R15" si="3">AVERAGE(Q5-$E$16)</f>
        <v>96</v>
      </c>
      <c r="S5" s="3">
        <v>96</v>
      </c>
      <c r="T5" s="24">
        <f t="shared" ref="T5:T15" si="4">AVERAGE(S5-$G$16)</f>
        <v>92</v>
      </c>
      <c r="U5" s="3">
        <f t="shared" ref="U5:U15" si="5">SUM(O5,Q5,S5)</f>
        <v>280</v>
      </c>
      <c r="V5" s="25">
        <f t="shared" ref="V5:V15" si="6">AVERAGE(O5,Q5,S5)</f>
        <v>93.333333333333329</v>
      </c>
    </row>
    <row r="6" spans="2:22" x14ac:dyDescent="0.3">
      <c r="B6" s="37" t="s">
        <v>84</v>
      </c>
      <c r="C6" s="38" t="s">
        <v>72</v>
      </c>
      <c r="D6" s="38">
        <v>140</v>
      </c>
      <c r="E6" s="38">
        <v>135</v>
      </c>
      <c r="F6" s="38">
        <v>150</v>
      </c>
      <c r="G6" s="38">
        <v>130</v>
      </c>
      <c r="H6" s="38">
        <v>125</v>
      </c>
      <c r="I6" s="38">
        <v>135</v>
      </c>
      <c r="J6" s="3">
        <f t="shared" si="0"/>
        <v>815</v>
      </c>
      <c r="K6" s="39">
        <f t="shared" si="1"/>
        <v>135.83333333333334</v>
      </c>
      <c r="N6" s="19" t="s">
        <v>54</v>
      </c>
      <c r="O6" s="3">
        <v>96</v>
      </c>
      <c r="P6" s="24">
        <f>AVERAGE(O6-$C$16)</f>
        <v>92</v>
      </c>
      <c r="Q6" s="3">
        <v>68</v>
      </c>
      <c r="R6" s="24">
        <f t="shared" si="3"/>
        <v>64</v>
      </c>
      <c r="S6" s="3">
        <v>84</v>
      </c>
      <c r="T6" s="24">
        <f t="shared" si="4"/>
        <v>80</v>
      </c>
      <c r="U6" s="3">
        <f t="shared" si="5"/>
        <v>248</v>
      </c>
      <c r="V6" s="25">
        <f t="shared" si="6"/>
        <v>82.666666666666671</v>
      </c>
    </row>
    <row r="7" spans="2:22" ht="17.25" thickBot="1" x14ac:dyDescent="0.35">
      <c r="B7" s="40" t="s">
        <v>74</v>
      </c>
      <c r="C7" s="41" t="s">
        <v>75</v>
      </c>
      <c r="D7" s="41">
        <v>120</v>
      </c>
      <c r="E7" s="41">
        <v>135</v>
      </c>
      <c r="F7" s="41">
        <v>140</v>
      </c>
      <c r="G7" s="41">
        <v>150</v>
      </c>
      <c r="H7" s="41">
        <v>140</v>
      </c>
      <c r="I7" s="41">
        <v>145</v>
      </c>
      <c r="J7" s="11">
        <f t="shared" si="0"/>
        <v>830</v>
      </c>
      <c r="K7" s="42">
        <f t="shared" si="1"/>
        <v>138.33333333333334</v>
      </c>
      <c r="N7" s="19" t="s">
        <v>55</v>
      </c>
      <c r="O7" s="3">
        <v>100</v>
      </c>
      <c r="P7" s="24">
        <f t="shared" si="2"/>
        <v>96</v>
      </c>
      <c r="Q7" s="3">
        <v>72</v>
      </c>
      <c r="R7" s="24">
        <f t="shared" si="3"/>
        <v>68</v>
      </c>
      <c r="S7" s="3">
        <v>88</v>
      </c>
      <c r="T7" s="24">
        <f t="shared" si="4"/>
        <v>84</v>
      </c>
      <c r="U7" s="3">
        <f t="shared" si="5"/>
        <v>260</v>
      </c>
      <c r="V7" s="25">
        <f t="shared" si="6"/>
        <v>86.666666666666671</v>
      </c>
    </row>
    <row r="8" spans="2:22" ht="17.25" thickBot="1" x14ac:dyDescent="0.35">
      <c r="N8" s="19" t="s">
        <v>56</v>
      </c>
      <c r="O8" s="3">
        <v>76</v>
      </c>
      <c r="P8" s="24">
        <f t="shared" si="2"/>
        <v>72</v>
      </c>
      <c r="Q8" s="3">
        <v>80</v>
      </c>
      <c r="R8" s="24">
        <f t="shared" si="3"/>
        <v>76</v>
      </c>
      <c r="S8" s="3">
        <v>80</v>
      </c>
      <c r="T8" s="24">
        <f t="shared" si="4"/>
        <v>76</v>
      </c>
      <c r="U8" s="3">
        <f t="shared" si="5"/>
        <v>236</v>
      </c>
      <c r="V8" s="25">
        <f t="shared" si="6"/>
        <v>78.666666666666671</v>
      </c>
    </row>
    <row r="9" spans="2:22" ht="17.25" thickBot="1" x14ac:dyDescent="0.35">
      <c r="B9" s="45" t="s">
        <v>85</v>
      </c>
      <c r="C9" s="46"/>
      <c r="D9" s="46"/>
      <c r="E9" s="46"/>
      <c r="F9" s="46"/>
      <c r="G9" s="46"/>
      <c r="H9" s="46"/>
      <c r="I9" s="46"/>
      <c r="J9" s="47"/>
      <c r="N9" s="19" t="s">
        <v>57</v>
      </c>
      <c r="O9" s="3">
        <v>60</v>
      </c>
      <c r="P9" s="24">
        <f t="shared" si="2"/>
        <v>56</v>
      </c>
      <c r="Q9" s="3">
        <v>96</v>
      </c>
      <c r="R9" s="24">
        <f t="shared" si="3"/>
        <v>92</v>
      </c>
      <c r="S9" s="3">
        <v>88</v>
      </c>
      <c r="T9" s="24">
        <f t="shared" si="4"/>
        <v>84</v>
      </c>
      <c r="U9" s="3">
        <f t="shared" si="5"/>
        <v>244</v>
      </c>
      <c r="V9" s="25">
        <f t="shared" si="6"/>
        <v>81.333333333333329</v>
      </c>
    </row>
    <row r="10" spans="2:22" x14ac:dyDescent="0.3">
      <c r="B10" s="44" t="s">
        <v>86</v>
      </c>
      <c r="C10" s="35" t="s">
        <v>87</v>
      </c>
      <c r="D10" s="35" t="s">
        <v>88</v>
      </c>
      <c r="E10" s="35" t="s">
        <v>89</v>
      </c>
      <c r="F10" s="35" t="s">
        <v>66</v>
      </c>
      <c r="G10" s="35" t="s">
        <v>67</v>
      </c>
      <c r="H10" s="35" t="s">
        <v>68</v>
      </c>
      <c r="I10" s="35" t="s">
        <v>69</v>
      </c>
      <c r="J10" s="35" t="s">
        <v>70</v>
      </c>
      <c r="K10" s="35" t="s">
        <v>90</v>
      </c>
      <c r="L10" s="36" t="s">
        <v>82</v>
      </c>
      <c r="N10" s="19" t="s">
        <v>58</v>
      </c>
      <c r="O10" s="3">
        <v>80</v>
      </c>
      <c r="P10" s="24">
        <f t="shared" si="2"/>
        <v>76</v>
      </c>
      <c r="Q10" s="3">
        <v>88</v>
      </c>
      <c r="R10" s="24">
        <f t="shared" si="3"/>
        <v>84</v>
      </c>
      <c r="S10" s="3">
        <v>76</v>
      </c>
      <c r="T10" s="24">
        <f t="shared" si="4"/>
        <v>72</v>
      </c>
      <c r="U10" s="3">
        <f t="shared" si="5"/>
        <v>244</v>
      </c>
      <c r="V10" s="25">
        <f t="shared" si="6"/>
        <v>81.333333333333329</v>
      </c>
    </row>
    <row r="11" spans="2:22" x14ac:dyDescent="0.3">
      <c r="B11" s="19">
        <v>1</v>
      </c>
      <c r="C11" s="38" t="s">
        <v>71</v>
      </c>
      <c r="D11" s="38" t="s">
        <v>72</v>
      </c>
      <c r="E11" s="38">
        <v>120</v>
      </c>
      <c r="F11" s="38">
        <v>150</v>
      </c>
      <c r="G11" s="38">
        <v>130</v>
      </c>
      <c r="H11" s="38">
        <v>140</v>
      </c>
      <c r="I11" s="38">
        <v>130</v>
      </c>
      <c r="J11" s="38">
        <v>150</v>
      </c>
      <c r="K11" s="3">
        <f>SUM(E11:J11)</f>
        <v>820</v>
      </c>
      <c r="L11" s="39">
        <f>AVERAGE(K11/6)</f>
        <v>136.66666666666666</v>
      </c>
      <c r="N11" s="19" t="s">
        <v>59</v>
      </c>
      <c r="O11" s="3">
        <v>84</v>
      </c>
      <c r="P11" s="24">
        <f t="shared" si="2"/>
        <v>80</v>
      </c>
      <c r="Q11" s="3">
        <v>84</v>
      </c>
      <c r="R11" s="24">
        <f t="shared" si="3"/>
        <v>80</v>
      </c>
      <c r="S11" s="3">
        <v>92</v>
      </c>
      <c r="T11" s="24">
        <f t="shared" si="4"/>
        <v>88</v>
      </c>
      <c r="U11" s="3">
        <f t="shared" si="5"/>
        <v>260</v>
      </c>
      <c r="V11" s="25">
        <f t="shared" si="6"/>
        <v>86.666666666666671</v>
      </c>
    </row>
    <row r="12" spans="2:22" x14ac:dyDescent="0.3">
      <c r="B12" s="19">
        <v>2</v>
      </c>
      <c r="C12" s="38" t="s">
        <v>91</v>
      </c>
      <c r="D12" s="38" t="s">
        <v>92</v>
      </c>
      <c r="E12" s="38">
        <v>100</v>
      </c>
      <c r="F12" s="38">
        <v>110</v>
      </c>
      <c r="G12" s="38">
        <v>120</v>
      </c>
      <c r="H12" s="38">
        <v>130</v>
      </c>
      <c r="I12" s="38">
        <v>140</v>
      </c>
      <c r="J12" s="38">
        <v>130</v>
      </c>
      <c r="K12" s="3">
        <f>SUM(E12:J12)</f>
        <v>730</v>
      </c>
      <c r="L12" s="39">
        <f>AVERAGE(K12/6)</f>
        <v>121.66666666666667</v>
      </c>
      <c r="N12" s="19" t="s">
        <v>60</v>
      </c>
      <c r="O12" s="3">
        <v>88</v>
      </c>
      <c r="P12" s="24">
        <f t="shared" si="2"/>
        <v>84</v>
      </c>
      <c r="Q12" s="3">
        <v>80</v>
      </c>
      <c r="R12" s="24">
        <f t="shared" si="3"/>
        <v>76</v>
      </c>
      <c r="S12" s="3">
        <v>68</v>
      </c>
      <c r="T12" s="24">
        <f t="shared" si="4"/>
        <v>64</v>
      </c>
      <c r="U12" s="3">
        <f t="shared" si="5"/>
        <v>236</v>
      </c>
      <c r="V12" s="25">
        <f t="shared" si="6"/>
        <v>78.666666666666671</v>
      </c>
    </row>
    <row r="13" spans="2:22" x14ac:dyDescent="0.3">
      <c r="B13" s="19">
        <v>3</v>
      </c>
      <c r="C13" s="38" t="s">
        <v>84</v>
      </c>
      <c r="D13" s="38" t="s">
        <v>72</v>
      </c>
      <c r="E13" s="38">
        <v>140</v>
      </c>
      <c r="F13" s="38">
        <v>135</v>
      </c>
      <c r="G13" s="38">
        <v>150</v>
      </c>
      <c r="H13" s="38">
        <v>130</v>
      </c>
      <c r="I13" s="38">
        <v>125</v>
      </c>
      <c r="J13" s="38">
        <v>135</v>
      </c>
      <c r="K13" s="3">
        <f>SUM(E13:J13)</f>
        <v>815</v>
      </c>
      <c r="L13" s="39">
        <f>AVERAGE(K13/6)</f>
        <v>135.83333333333334</v>
      </c>
      <c r="N13" s="19" t="s">
        <v>61</v>
      </c>
      <c r="O13" s="3">
        <v>92</v>
      </c>
      <c r="P13" s="24">
        <f t="shared" si="2"/>
        <v>88</v>
      </c>
      <c r="Q13" s="3">
        <v>80</v>
      </c>
      <c r="R13" s="24">
        <f t="shared" si="3"/>
        <v>76</v>
      </c>
      <c r="S13" s="3">
        <v>72</v>
      </c>
      <c r="T13" s="24">
        <f t="shared" si="4"/>
        <v>68</v>
      </c>
      <c r="U13" s="3">
        <f t="shared" si="5"/>
        <v>244</v>
      </c>
      <c r="V13" s="25">
        <f t="shared" si="6"/>
        <v>81.333333333333329</v>
      </c>
    </row>
    <row r="14" spans="2:22" x14ac:dyDescent="0.3">
      <c r="B14" s="19">
        <v>4</v>
      </c>
      <c r="C14" s="38" t="s">
        <v>93</v>
      </c>
      <c r="D14" s="38" t="s">
        <v>94</v>
      </c>
      <c r="E14" s="38">
        <v>120</v>
      </c>
      <c r="F14" s="38">
        <v>135</v>
      </c>
      <c r="G14" s="38">
        <v>140</v>
      </c>
      <c r="H14" s="38">
        <v>150</v>
      </c>
      <c r="I14" s="38">
        <v>140</v>
      </c>
      <c r="J14" s="38">
        <v>145</v>
      </c>
      <c r="K14" s="3">
        <f>SUM(E14:J14)</f>
        <v>830</v>
      </c>
      <c r="L14" s="39">
        <f>AVERAGE(K14/6)</f>
        <v>138.33333333333334</v>
      </c>
      <c r="N14" s="19" t="s">
        <v>62</v>
      </c>
      <c r="O14" s="3">
        <v>72</v>
      </c>
      <c r="P14" s="24">
        <f t="shared" si="2"/>
        <v>68</v>
      </c>
      <c r="Q14" s="3">
        <v>92</v>
      </c>
      <c r="R14" s="24">
        <f t="shared" si="3"/>
        <v>88</v>
      </c>
      <c r="S14" s="3">
        <v>80</v>
      </c>
      <c r="T14" s="24">
        <f t="shared" si="4"/>
        <v>76</v>
      </c>
      <c r="U14" s="3">
        <f t="shared" si="5"/>
        <v>244</v>
      </c>
      <c r="V14" s="25">
        <f t="shared" si="6"/>
        <v>81.333333333333329</v>
      </c>
    </row>
    <row r="15" spans="2:22" x14ac:dyDescent="0.3">
      <c r="B15" s="19" t="s">
        <v>76</v>
      </c>
      <c r="C15" s="3">
        <f>COUNT(C11:C14)</f>
        <v>0</v>
      </c>
      <c r="D15" s="3">
        <f>COUNT(D11:D14)</f>
        <v>0</v>
      </c>
      <c r="E15" s="3">
        <f>COUNT(E11:E14)</f>
        <v>4</v>
      </c>
      <c r="F15" s="3">
        <f>COUNT(F11:F14)</f>
        <v>4</v>
      </c>
      <c r="G15" s="3">
        <f>COUNT(G11:G14)</f>
        <v>4</v>
      </c>
      <c r="H15" s="3">
        <f>COUNT(H11:H14)</f>
        <v>4</v>
      </c>
      <c r="I15" s="3">
        <f>COUNT(I11:I14)</f>
        <v>4</v>
      </c>
      <c r="J15" s="3">
        <f>COUNT(J11:J14)</f>
        <v>4</v>
      </c>
      <c r="K15" s="3">
        <f>COUNT(K11:K14)</f>
        <v>4</v>
      </c>
      <c r="L15" s="8">
        <f>COUNT(L11:L14)</f>
        <v>4</v>
      </c>
      <c r="N15" s="19" t="s">
        <v>63</v>
      </c>
      <c r="O15" s="3">
        <v>68</v>
      </c>
      <c r="P15" s="24">
        <f t="shared" si="2"/>
        <v>64</v>
      </c>
      <c r="Q15" s="3">
        <v>96</v>
      </c>
      <c r="R15" s="24">
        <f t="shared" si="3"/>
        <v>92</v>
      </c>
      <c r="S15" s="3">
        <v>92</v>
      </c>
      <c r="T15" s="24">
        <f t="shared" si="4"/>
        <v>88</v>
      </c>
      <c r="U15" s="3">
        <f t="shared" si="5"/>
        <v>256</v>
      </c>
      <c r="V15" s="25">
        <f t="shared" si="6"/>
        <v>85.333333333333329</v>
      </c>
    </row>
    <row r="16" spans="2:22" ht="20.25" x14ac:dyDescent="0.3">
      <c r="B16" s="19" t="s">
        <v>79</v>
      </c>
      <c r="C16" s="3">
        <f>COUNTA(D11:D14)</f>
        <v>4</v>
      </c>
      <c r="D16" s="3">
        <f>COUNTA(E11:E14)</f>
        <v>4</v>
      </c>
      <c r="E16" s="3">
        <f>COUNTA(F11:F14)</f>
        <v>4</v>
      </c>
      <c r="F16" s="3">
        <f>COUNTA(G11:G14)</f>
        <v>4</v>
      </c>
      <c r="G16" s="3">
        <f>COUNTA(H11:H14)</f>
        <v>4</v>
      </c>
      <c r="H16" s="3">
        <f>COUNTA(I11:I14)</f>
        <v>4</v>
      </c>
      <c r="I16" s="3">
        <f>COUNTA(J11:J14)</f>
        <v>4</v>
      </c>
      <c r="J16" s="3">
        <f>COUNTA(K11:K14)</f>
        <v>4</v>
      </c>
      <c r="K16" s="3">
        <f>COUNTA(L11:L14)</f>
        <v>4</v>
      </c>
      <c r="L16" s="8">
        <f>COUNTA('2026.04.28'!X4:X7)</f>
        <v>0</v>
      </c>
      <c r="N16" s="19" t="s">
        <v>43</v>
      </c>
      <c r="O16" s="3">
        <f>SUM(O4:O15)</f>
        <v>980</v>
      </c>
      <c r="P16" s="26" t="s">
        <v>46</v>
      </c>
      <c r="Q16" s="3">
        <f>SUM(Q4:Q15)</f>
        <v>1024</v>
      </c>
      <c r="R16" s="26" t="s">
        <v>46</v>
      </c>
      <c r="S16" s="3">
        <f>SUM(S4:S15)</f>
        <v>992</v>
      </c>
      <c r="T16" s="26" t="s">
        <v>45</v>
      </c>
      <c r="U16" s="26" t="s">
        <v>45</v>
      </c>
      <c r="V16" s="28" t="s">
        <v>49</v>
      </c>
    </row>
    <row r="17" spans="2:22" ht="21" thickBot="1" x14ac:dyDescent="0.35">
      <c r="B17" s="43" t="s">
        <v>95</v>
      </c>
      <c r="C17" s="11">
        <f>COUNTIF(C11:C14,"&gt;=130")</f>
        <v>0</v>
      </c>
      <c r="D17" s="11">
        <f>COUNTIF(D11:D14,"&gt;=130")</f>
        <v>0</v>
      </c>
      <c r="E17" s="11">
        <f>COUNTIF(E11:E14,"&gt;=130")</f>
        <v>1</v>
      </c>
      <c r="F17" s="11">
        <f>COUNTIF(F11:F14,"&gt;=130")</f>
        <v>3</v>
      </c>
      <c r="G17" s="11">
        <f>COUNTIF(G11:G14,"&gt;=130")</f>
        <v>3</v>
      </c>
      <c r="H17" s="11">
        <f>COUNTIF(H11:H14,"&gt;=130")</f>
        <v>4</v>
      </c>
      <c r="I17" s="11">
        <f>COUNTIF(I11:I14,"&gt;=130")</f>
        <v>3</v>
      </c>
      <c r="J17" s="11">
        <f>COUNTIF(J11:J14,"&gt;=130")</f>
        <v>4</v>
      </c>
      <c r="K17" s="11">
        <f>COUNTIF(K11:K14,"&gt;=130")</f>
        <v>4</v>
      </c>
      <c r="L17" s="18">
        <f>COUNTIF(L11:L14,"&gt;=130")</f>
        <v>3</v>
      </c>
      <c r="N17" s="19" t="s">
        <v>47</v>
      </c>
      <c r="O17" s="24">
        <f>_xlfn.STDEV.P(O4:O15)</f>
        <v>11.130538571376</v>
      </c>
      <c r="P17" s="26" t="s">
        <v>46</v>
      </c>
      <c r="Q17" s="24">
        <f>_xlfn.STDEV.P(Q4:Q15)</f>
        <v>9.428090415820634</v>
      </c>
      <c r="R17" s="26" t="s">
        <v>46</v>
      </c>
      <c r="S17" s="24">
        <f>_xlfn.STDEV.P(S4:S15)</f>
        <v>8.3798700599843574</v>
      </c>
      <c r="T17" s="26" t="s">
        <v>45</v>
      </c>
      <c r="U17" s="26" t="s">
        <v>45</v>
      </c>
      <c r="V17" s="28" t="s">
        <v>49</v>
      </c>
    </row>
    <row r="18" spans="2:22" ht="20.25" x14ac:dyDescent="0.3">
      <c r="N18" s="19" t="s">
        <v>44</v>
      </c>
      <c r="O18" s="24">
        <f>AVERAGE(O3:O14)</f>
        <v>82.909090909090907</v>
      </c>
      <c r="P18" s="26" t="s">
        <v>46</v>
      </c>
      <c r="Q18" s="24">
        <f>AVERAGE(Q3:Q14)</f>
        <v>84.36363636363636</v>
      </c>
      <c r="R18" s="26" t="s">
        <v>46</v>
      </c>
      <c r="S18" s="24">
        <f>AVERAGE(S3:S14)</f>
        <v>81.818181818181813</v>
      </c>
      <c r="T18" s="26" t="s">
        <v>46</v>
      </c>
      <c r="U18" s="26" t="s">
        <v>46</v>
      </c>
      <c r="V18" s="28" t="s">
        <v>50</v>
      </c>
    </row>
    <row r="19" spans="2:22" ht="21" thickBot="1" x14ac:dyDescent="0.35">
      <c r="N19" s="30" t="s">
        <v>96</v>
      </c>
      <c r="O19" s="11">
        <f>COUNTIF(O4:O15,"&gt;=80")</f>
        <v>8</v>
      </c>
      <c r="P19" s="27" t="s">
        <v>48</v>
      </c>
      <c r="Q19" s="11">
        <f>COUNTIF(Q4:Q15,"&gt;=80")</f>
        <v>10</v>
      </c>
      <c r="R19" s="27" t="s">
        <v>48</v>
      </c>
      <c r="S19" s="11">
        <f>COUNTIF(S4:S15,"&gt;=80")</f>
        <v>8</v>
      </c>
      <c r="T19" s="27" t="s">
        <v>48</v>
      </c>
      <c r="U19" s="27" t="s">
        <v>48</v>
      </c>
      <c r="V19" s="29" t="s">
        <v>51</v>
      </c>
    </row>
  </sheetData>
  <mergeCells count="3">
    <mergeCell ref="B2:I2"/>
    <mergeCell ref="B9:J9"/>
    <mergeCell ref="N2:V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</vt:lpstr>
      <vt:lpstr>2026.04.27</vt:lpstr>
      <vt:lpstr>2026.04.28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dw-007</dc:creator>
  <cp:lastModifiedBy>dw-007</cp:lastModifiedBy>
  <dcterms:created xsi:type="dcterms:W3CDTF">2026-04-27T06:43:16Z</dcterms:created>
  <dcterms:modified xsi:type="dcterms:W3CDTF">2026-04-28T02:11:36Z</dcterms:modified>
</cp:coreProperties>
</file>